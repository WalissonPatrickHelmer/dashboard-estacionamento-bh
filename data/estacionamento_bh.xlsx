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\Desktop\Curso em Vídeo HTML5 e CSS3\exercicios\dashboard-estacionamento-bh\data\"/>
    </mc:Choice>
  </mc:AlternateContent>
  <xr:revisionPtr revIDLastSave="0" documentId="13_ncr:1_{57A68FFA-532A-414E-810D-5C9128DDABBB}" xr6:coauthVersionLast="47" xr6:coauthVersionMax="47" xr10:uidLastSave="{00000000-0000-0000-0000-000000000000}"/>
  <bookViews>
    <workbookView xWindow="-120" yWindow="-120" windowWidth="20730" windowHeight="11160" activeTab="3" xr2:uid="{8316B71B-52D7-42FF-8630-4572AF6B553D}"/>
  </bookViews>
  <sheets>
    <sheet name="01_Dados" sheetId="1" r:id="rId1"/>
    <sheet name="02_Tabela_Vagas" sheetId="2" r:id="rId2"/>
    <sheet name="03_Tabela_Uso" sheetId="3" r:id="rId3"/>
    <sheet name="04__Dashboard" sheetId="6" r:id="rId4"/>
    <sheet name="assets" sheetId="7" r:id="rId5"/>
  </sheets>
  <definedNames>
    <definedName name="_xlnm._FilterDatabase" localSheetId="0" hidden="1">'01_Dados'!$A$1:$A$21</definedName>
    <definedName name="SegmentaçãodeDados_BAIRRO">#N/A</definedName>
  </definedNames>
  <calcPr calcId="18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2" l="1"/>
  <c r="F2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</calcChain>
</file>

<file path=xl/sharedStrings.xml><?xml version="1.0" encoding="utf-8"?>
<sst xmlns="http://schemas.openxmlformats.org/spreadsheetml/2006/main" count="55" uniqueCount="32">
  <si>
    <t>BAIRRO</t>
  </si>
  <si>
    <t>TIPO_ESTACIONAMENTO</t>
  </si>
  <si>
    <t>TOTAL_VAGAS_FISICAS</t>
  </si>
  <si>
    <t>TOTAL_VAGAS_ROTATIVAS</t>
  </si>
  <si>
    <t>TOTAL_REGISTROS</t>
  </si>
  <si>
    <t>CENTRO</t>
  </si>
  <si>
    <t>ROTATIVO</t>
  </si>
  <si>
    <t>SERRA VERDE</t>
  </si>
  <si>
    <t>BARRO PRETO</t>
  </si>
  <si>
    <t>SAVASSI</t>
  </si>
  <si>
    <t>SANTO AGOSTINHO</t>
  </si>
  <si>
    <t>BOA VIAGEM</t>
  </si>
  <si>
    <t>BARREIRO</t>
  </si>
  <si>
    <t>SERRA</t>
  </si>
  <si>
    <t>LOURDES</t>
  </si>
  <si>
    <t>BURITIS</t>
  </si>
  <si>
    <t>GUTIERREZ</t>
  </si>
  <si>
    <t>BELVEDERE</t>
  </si>
  <si>
    <t>FLORESTA</t>
  </si>
  <si>
    <t>ALPES</t>
  </si>
  <si>
    <t>VENDA NOVA</t>
  </si>
  <si>
    <t>Rótulos de Linha</t>
  </si>
  <si>
    <t>Total Geral</t>
  </si>
  <si>
    <t>Soma de TOTAL_VAGAS_ROTATIVAS</t>
  </si>
  <si>
    <t>CAIÇARAS</t>
  </si>
  <si>
    <t>FUNCIONÁRIOS</t>
  </si>
  <si>
    <t>SÃO PEDRO</t>
  </si>
  <si>
    <t>SANTA EFIGÊNIA</t>
  </si>
  <si>
    <t>SANTA LÚCIA</t>
  </si>
  <si>
    <t>Total de Vagas Rotativas</t>
  </si>
  <si>
    <t>Soma de TOTAL_REGISTROS</t>
  </si>
  <si>
    <t>soma_vagas_ficica+rotativa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</si>
</sst>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8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[estacionamento_bh.xlsx]02_Tabela_Vagas!Tabela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'02_Tabela_Vagas'!$B$3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'02_Tabela_Vagas'!$A$4:$A$5</c:f>
              <c:strCache>
                <c:ptCount val="1"/>
                <c:pt idx="0">
                  <c:v>SERRA</c:v>
                </c:pt>
              </c:strCache>
            </c:strRef>
          </c:cat>
          <c:val>
            <c:numRef>
              <c:f>'02_Tabela_Vagas'!$B$4:$B$5</c:f>
              <c:numCache>
                <c:formatCode>General</c:formatCode>
                <c:ptCount val="1"/>
                <c:pt idx="0">
                  <c:v>10995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0E-44CB-AD39-AB1D17BBFD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865842352"/>
        <c:axId val="1865826032"/>
      </c:barChart>
      <c:catAx>
        <c:axId val="186584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826032"/>
        <c:crosses val="autoZero"/>
        <c:auto val="1"/>
        <c:lblAlgn val="ctr"/>
        <c:lblOffset val="100"/>
        <c:noMultiLvlLbl val="0"/>
      </c:catAx>
      <c:valAx>
        <c:axId val="1865826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584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[estacionamento_bh.xlsx]03_Tabela_Uso!Tabela dinâmica2</c:name>
    <c:fmtId val="3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526463719594107"/>
          <c:y val="0.24280272056966593"/>
          <c:w val="0.66586397172794343"/>
          <c:h val="0.680254454693865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'03_Tabela_Uso'!$B$3</c:f>
              <c:strCache>
                <c:ptCount val="1"/>
                <c:pt idx="0">
                  <c:v>Soma de TOTAL_REGISTROS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'03_Tabela_Uso'!$A$4:$A$5</c:f>
              <c:strCache>
                <c:ptCount val="1"/>
                <c:pt idx="0">
                  <c:v>SERRA</c:v>
                </c:pt>
              </c:strCache>
            </c:strRef>
          </c:cat>
          <c:val>
            <c:numRef>
              <c:f>'03_Tabela_Uso'!$B$4:$B$5</c:f>
              <c:numCache>
                <c:formatCode>General</c:formatCode>
                <c:ptCount val="1"/>
                <c:pt idx="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44-416E-AC11-DEAA39AFF730}"/>
            </c:ext>
          </c:extLst>
        </c:ser>
        <c:ser>
          <c:idx val="1"/>
          <c:order val="1"/>
          <c:tx>
            <c:strRef>
              <c:f>'03_Tabela_Uso'!$C$3</c:f>
              <c:strCache>
                <c:ptCount val="1"/>
                <c:pt idx="0">
                  <c:v>Soma de TOTAL_VAGAS_ROTATIVAS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'03_Tabela_Uso'!$A$4:$A$5</c:f>
              <c:strCache>
                <c:ptCount val="1"/>
                <c:pt idx="0">
                  <c:v>SERRA</c:v>
                </c:pt>
              </c:strCache>
            </c:strRef>
          </c:cat>
          <c:val>
            <c:numRef>
              <c:f>'03_Tabela_Uso'!$C$4:$C$5</c:f>
              <c:numCache>
                <c:formatCode>General</c:formatCode>
                <c:ptCount val="1"/>
                <c:pt idx="0">
                  <c:v>10995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44-416E-AC11-DEAA39AFF73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66881904"/>
        <c:axId val="1866883344"/>
      </c:barChart>
      <c:catAx>
        <c:axId val="186688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6883344"/>
        <c:crosses val="autoZero"/>
        <c:auto val="1"/>
        <c:lblAlgn val="ctr"/>
        <c:lblOffset val="100"/>
        <c:noMultiLvlLbl val="0"/>
      </c:catAx>
      <c:valAx>
        <c:axId val="186688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688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7970233834407062"/>
          <c:y val="2.0942408376963352E-2"/>
          <c:w val="0.59135260081126217"/>
          <c:h val="0.140489480699729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600076</xdr:colOff>
      <xdr:row>2</xdr:row>
      <xdr:rowOff>9525</xdr:rowOff>
    </xdr:from>
    <xdr:to>
      <xdr:col>13</xdr:col>
      <xdr:colOff>190500</xdr:colOff>
      <xdr:row>21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CCBC23-3A2A-40D9-A150-CDD696B09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285750</xdr:colOff>
      <xdr:row>1</xdr:row>
      <xdr:rowOff>180975</xdr:rowOff>
    </xdr:from>
    <xdr:to>
      <xdr:col>6</xdr:col>
      <xdr:colOff>590550</xdr:colOff>
      <xdr:row>21</xdr:row>
      <xdr:rowOff>9525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52C30F-56C5-4DDC-A8B7-F079C7BAFE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447675</xdr:colOff>
      <xdr:row>2</xdr:row>
      <xdr:rowOff>38100</xdr:rowOff>
    </xdr:from>
    <xdr:to>
      <xdr:col>16</xdr:col>
      <xdr:colOff>447675</xdr:colOff>
      <xdr:row>21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BAIRRO">
              <a:extLst>
                <a:ext uri="{FF2B5EF4-FFF2-40B4-BE49-F238E27FC236}">
                  <a16:creationId xmlns:a16="http://schemas.microsoft.com/office/drawing/2014/main" id="{9A13D607-2F65-3E4A-3C4C-B2ED1CC76D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IR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2475" y="419100"/>
              <a:ext cx="1828800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584488</xdr:colOff>
      <xdr:row>2</xdr:row>
      <xdr:rowOff>92652</xdr:rowOff>
    </xdr:from>
    <xdr:to>
      <xdr:col>6</xdr:col>
      <xdr:colOff>502227</xdr:colOff>
      <xdr:row>5</xdr:row>
      <xdr:rowOff>165861</xdr:rowOff>
    </xdr:to>
    <xdr:pic>
      <xdr:nvPicPr>
        <xdr:cNvPr id="8" name="Gráfico 7">
          <a:extLst>
            <a:ext uri="{FF2B5EF4-FFF2-40B4-BE49-F238E27FC236}">
              <a16:creationId xmlns:a16="http://schemas.microsoft.com/office/drawing/2014/main" id="{7CDDADAA-B401-4677-BCC3-D68AAFB49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615170" y="473652"/>
          <a:ext cx="523875" cy="644709"/>
        </a:xfrm>
        <a:prstGeom prst="rect">
          <a:avLst/>
        </a:prstGeom>
      </xdr:spPr>
    </xdr:pic>
    <xdr:clientData/>
  </xdr:twoCellAnchor>
  <xdr:twoCellAnchor editAs="oneCell">
    <xdr:from>
      <xdr:col>12</xdr:col>
      <xdr:colOff>243321</xdr:colOff>
      <xdr:row>2</xdr:row>
      <xdr:rowOff>80530</xdr:rowOff>
    </xdr:from>
    <xdr:to>
      <xdr:col>13</xdr:col>
      <xdr:colOff>161059</xdr:colOff>
      <xdr:row>5</xdr:row>
      <xdr:rowOff>153739</xdr:rowOff>
    </xdr:to>
    <xdr:pic>
      <xdr:nvPicPr>
        <xdr:cNvPr id="9" name="Gráfico 8">
          <a:extLst>
            <a:ext uri="{FF2B5EF4-FFF2-40B4-BE49-F238E27FC236}">
              <a16:creationId xmlns:a16="http://schemas.microsoft.com/office/drawing/2014/main" id="{ABF9DACF-8F4C-45EC-A2E3-482C86941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516957" y="461530"/>
          <a:ext cx="523875" cy="64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1BD80F25-4DA1-F304-EDD7-1C0A67FF7B4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114300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ED41B631-8783-878D-3883-7F339224E942}"/>
            </a:ext>
          </a:extLst>
        </xdr:cNvPr>
        <xdr:cNvSpPr>
          <a:spLocks noChangeAspect="1" noChangeArrowheads="1"/>
        </xdr:cNvSpPr>
      </xdr:nvSpPr>
      <xdr:spPr bwMode="auto">
        <a:xfrm>
          <a:off x="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247650</xdr:colOff>
      <xdr:row>4</xdr:row>
      <xdr:rowOff>19051</xdr:rowOff>
    </xdr:from>
    <xdr:to>
      <xdr:col>5</xdr:col>
      <xdr:colOff>433778</xdr:colOff>
      <xdr:row>13</xdr:row>
      <xdr:rowOff>19051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D0C1D99F-2E90-0D2E-F70C-864F80594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76450" y="781051"/>
          <a:ext cx="1405328" cy="17145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Helmer" refreshedDate="46125.959997453705" createdVersion="8" refreshedVersion="8" minRefreshableVersion="3" recordCount="20" xr:uid="{3E6E6604-D3A3-4F0D-8B36-13BA7F1DE08A}">
  <cacheSource type="worksheet">
    <worksheetSource ref="A1:E21" sheet="01_Dados"/>
  </cacheSource>
  <cacheFields count="5">
    <cacheField name="BAIRRO" numFmtId="0">
      <sharedItems count="25">
        <s v="CENTRO"/>
        <s v="SERRA VERDE"/>
        <s v="SANTA EFIGÊNIA"/>
        <s v="BARRO PRETO"/>
        <s v="SAVASSI"/>
        <s v="SANTO AGOSTINHO"/>
        <s v="BOA VIAGEM"/>
        <s v="FUNCIONÁRIOS"/>
        <s v="BARREIRO"/>
        <s v="SERRA"/>
        <s v="LOURDES"/>
        <s v="BURITIS"/>
        <s v="CAIÇARAS"/>
        <s v="SANTA LÚCIA"/>
        <s v="GUTIERREZ"/>
        <s v="BELVEDERE"/>
        <s v="FLORESTA"/>
        <s v="SÃO PEDRO"/>
        <s v="ALPES"/>
        <s v="VENDA NOVA"/>
        <s v="SANTA EFIGÃŠNIA" u="1"/>
        <s v="FUNCIONÃRIOS" u="1"/>
        <s v="CAIÃ‡ARAS" u="1"/>
        <s v="SANTA LÃšCIA" u="1"/>
        <s v="SÃƒO PEDRO" u="1"/>
      </sharedItems>
    </cacheField>
    <cacheField name="TIPO_ESTACIONAMENTO" numFmtId="0">
      <sharedItems/>
    </cacheField>
    <cacheField name="TOTAL_VAGAS_FISICAS" numFmtId="0">
      <sharedItems containsSemiMixedTypes="0" containsString="0" containsNumber="1" containsInteger="1" minValue="432" maxValue="14846"/>
    </cacheField>
    <cacheField name="TOTAL_VAGAS_ROTATIVAS" numFmtId="0">
      <sharedItems containsSemiMixedTypes="0" containsString="0" containsNumber="1" containsInteger="1" minValue="3240" maxValue="111345"/>
    </cacheField>
    <cacheField name="TOTAL_REGISTROS" numFmtId="0">
      <sharedItems containsSemiMixedTypes="0" containsString="0" containsNumber="1" containsInteger="1" minValue="54" maxValue="1064"/>
    </cacheField>
  </cacheFields>
  <extLst>
    <ext xmlns:x14="http://schemas.microsoft.com/office/spreadsheetml/2009/9/main" uri="{725AE2AE-9491-48be-B2B4-4EB974FC3084}">
      <x14:pivotCacheDefinition pivotCacheId="2629229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ROTATIVO"/>
    <n v="14846"/>
    <n v="111345"/>
    <n v="1064"/>
  </r>
  <r>
    <x v="1"/>
    <s v="ROTATIVO"/>
    <n v="3696"/>
    <n v="27720"/>
    <n v="56"/>
  </r>
  <r>
    <x v="2"/>
    <s v="ROTATIVO"/>
    <n v="3216"/>
    <n v="24120"/>
    <n v="362"/>
  </r>
  <r>
    <x v="3"/>
    <s v="ROTATIVO"/>
    <n v="3112"/>
    <n v="23340"/>
    <n v="256"/>
  </r>
  <r>
    <x v="4"/>
    <s v="ROTATIVO"/>
    <n v="2892"/>
    <n v="21690"/>
    <n v="348"/>
  </r>
  <r>
    <x v="5"/>
    <s v="ROTATIVO"/>
    <n v="2660"/>
    <n v="19950"/>
    <n v="248"/>
  </r>
  <r>
    <x v="6"/>
    <s v="ROTATIVO"/>
    <n v="2592"/>
    <n v="19440"/>
    <n v="128"/>
  </r>
  <r>
    <x v="7"/>
    <s v="ROTATIVO"/>
    <n v="2552"/>
    <n v="19140"/>
    <n v="244"/>
  </r>
  <r>
    <x v="8"/>
    <s v="ROTATIVO"/>
    <n v="1926"/>
    <n v="14445"/>
    <n v="182"/>
  </r>
  <r>
    <x v="9"/>
    <s v="ROTATIVO"/>
    <n v="1466"/>
    <n v="10995"/>
    <n v="182"/>
  </r>
  <r>
    <x v="10"/>
    <s v="ROTATIVO"/>
    <n v="966"/>
    <n v="7275"/>
    <n v="120"/>
  </r>
  <r>
    <x v="11"/>
    <s v="ROTATIVO"/>
    <n v="904"/>
    <n v="6780"/>
    <n v="128"/>
  </r>
  <r>
    <x v="12"/>
    <s v="ROTATIVO"/>
    <n v="672"/>
    <n v="5040"/>
    <n v="56"/>
  </r>
  <r>
    <x v="13"/>
    <s v="ROTATIVO"/>
    <n v="672"/>
    <n v="5040"/>
    <n v="56"/>
  </r>
  <r>
    <x v="14"/>
    <s v="ROTATIVO"/>
    <n v="540"/>
    <n v="4050"/>
    <n v="64"/>
  </r>
  <r>
    <x v="15"/>
    <s v="ROTATIVO"/>
    <n v="540"/>
    <n v="4050"/>
    <n v="64"/>
  </r>
  <r>
    <x v="16"/>
    <s v="ROTATIVO"/>
    <n v="540"/>
    <n v="4050"/>
    <n v="54"/>
  </r>
  <r>
    <x v="17"/>
    <s v="ROTATIVO"/>
    <n v="476"/>
    <n v="3570"/>
    <n v="64"/>
  </r>
  <r>
    <x v="18"/>
    <s v="ROTATIVO"/>
    <n v="436"/>
    <n v="3270"/>
    <n v="64"/>
  </r>
  <r>
    <x v="19"/>
    <s v="ROTATIVO"/>
    <n v="432"/>
    <n v="3240"/>
    <n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843A1-BA85-4CB6-8CEE-407B15854DC5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5" firstHeaderRow="1" firstDataRow="1" firstDataCol="1"/>
  <pivotFields count="5">
    <pivotField axis="axisRow" showAll="0" sortType="ascending">
      <items count="26">
        <item h="1" x="18"/>
        <item h="1" x="8"/>
        <item h="1" x="3"/>
        <item h="1" x="15"/>
        <item h="1" x="6"/>
        <item h="1" x="11"/>
        <item h="1" m="1" x="22"/>
        <item h="1" x="12"/>
        <item h="1" x="0"/>
        <item h="1" x="16"/>
        <item h="1" m="1" x="21"/>
        <item h="1" x="7"/>
        <item h="1" x="14"/>
        <item h="1" x="10"/>
        <item h="1" m="1" x="24"/>
        <item h="1" m="1" x="20"/>
        <item h="1" x="2"/>
        <item h="1" m="1" x="23"/>
        <item h="1" x="13"/>
        <item h="1" x="5"/>
        <item h="1" x="17"/>
        <item h="1" x="4"/>
        <item x="9"/>
        <item h="1" x="1"/>
        <item h="1" x="19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2">
    <i>
      <x v="22"/>
    </i>
    <i t="grand">
      <x/>
    </i>
  </rowItems>
  <colItems count="1">
    <i/>
  </colItems>
  <dataFields count="1">
    <dataField name="Total de Vagas Rotativas" fld="3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4E84B-8A36-4AA5-AE2C-3B5E5F71F493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C5" firstHeaderRow="0" firstDataRow="1" firstDataCol="1"/>
  <pivotFields count="5">
    <pivotField axis="axisRow" showAll="0">
      <items count="26">
        <item h="1" x="18"/>
        <item h="1" x="8"/>
        <item h="1" x="3"/>
        <item h="1" x="15"/>
        <item h="1" x="6"/>
        <item h="1" x="11"/>
        <item h="1" x="12"/>
        <item h="1" x="0"/>
        <item h="1" x="16"/>
        <item h="1" x="7"/>
        <item h="1" x="14"/>
        <item h="1" x="10"/>
        <item h="1" x="2"/>
        <item h="1" x="13"/>
        <item h="1" x="5"/>
        <item h="1" x="17"/>
        <item h="1" x="4"/>
        <item x="9"/>
        <item h="1" x="1"/>
        <item h="1" x="19"/>
        <item h="1" m="1" x="20"/>
        <item h="1" m="1" x="21"/>
        <item h="1" m="1" x="22"/>
        <item h="1" m="1" x="23"/>
        <item h="1" m="1" x="24"/>
        <item t="default"/>
      </items>
    </pivotField>
    <pivotField showAll="0"/>
    <pivotField showAll="0"/>
    <pivotField dataField="1" showAll="0"/>
    <pivotField dataField="1" showAll="0"/>
  </pivotFields>
  <rowFields count="1">
    <field x="0"/>
  </rowFields>
  <rowItems count="2"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_REGISTROS" fld="4" baseField="0" baseItem="0"/>
    <dataField name="Soma de TOTAL_VAGAS_ROTATIVAS" fld="3" baseField="0" baseItem="0"/>
  </dataFields>
  <chartFormats count="2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IRRO" xr10:uid="{ACD14E19-B8E6-470C-8692-04A3767936D7}" sourceName="BAIRRO">
  <pivotTables>
    <pivotTable tabId="2" name="Tabela dinâmica1"/>
    <pivotTable tabId="3" name="Tabela dinâmica2"/>
  </pivotTables>
  <data>
    <tabular pivotCacheId="262922932">
      <items count="25">
        <i x="18"/>
        <i x="8"/>
        <i x="3"/>
        <i x="15"/>
        <i x="6"/>
        <i x="11"/>
        <i x="12"/>
        <i x="0"/>
        <i x="16"/>
        <i x="7"/>
        <i x="14"/>
        <i x="10"/>
        <i x="2"/>
        <i x="13"/>
        <i x="5"/>
        <i x="17"/>
        <i x="4"/>
        <i x="9" s="1"/>
        <i x="1"/>
        <i x="19"/>
        <i x="22" nd="1"/>
        <i x="21" nd="1"/>
        <i x="24" nd="1"/>
        <i x="20" nd="1"/>
        <i x="2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AIRRO" xr10:uid="{00ED21F8-2472-4CBD-9030-778B45361749}" cache="SegmentaçãodeDados_BAIRRO" caption="BAIRRO" startItem="8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86DA9-2505-4D75-8149-8A07943A8806}" name="tb_estacionamento" displayName="tb_estacionamento" ref="A1:F21" totalsRowShown="0" headerRowDxfId="7" dataDxfId="6">
  <autoFilter ref="A1:F21" xr:uid="{79E86DA9-2505-4D75-8149-8A07943A8806}"/>
  <tableColumns count="6">
    <tableColumn id="1" xr3:uid="{FBFD7E95-B27B-4BFC-8098-48A863A50050}" name="BAIRRO" dataDxfId="5"/>
    <tableColumn id="2" xr3:uid="{93C8DA85-0A28-475E-95C5-8248B8C143C6}" name="TIPO_ESTACIONAMENTO" dataDxfId="4"/>
    <tableColumn id="3" xr3:uid="{B3360345-652F-4543-B6CE-5BA4B97DAD04}" name="TOTAL_VAGAS_FISICAS" dataDxfId="3"/>
    <tableColumn id="4" xr3:uid="{AD79F6AA-EF08-47B2-ABBF-90A33B53417A}" name="TOTAL_VAGAS_ROTATIVAS" dataDxfId="2"/>
    <tableColumn id="5" xr3:uid="{387C764D-6495-4AA6-A445-6954A46A837D}" name="TOTAL_REGISTROS" dataDxfId="1"/>
    <tableColumn id="6" xr3:uid="{F770CDA2-371E-468E-8C09-ABF99A7D76D6}" name="soma_vagas_ficica+rotativa" dataDxfId="0">
      <calculatedColumnFormula>C2+D2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BF74A-7B43-46BE-8CF6-3F293FD0ED7B}">
  <dimension ref="A1:F21"/>
  <sheetViews>
    <sheetView workbookViewId="0">
      <selection activeCell="F21" sqref="A1:F21"/>
    </sheetView>
  </sheetViews>
  <sheetFormatPr defaultRowHeight="15" x14ac:dyDescent="0.25"/>
  <cols>
    <col min="1" max="1" width="20.28515625" customWidth="1"/>
    <col min="2" max="2" width="25.140625" customWidth="1"/>
    <col min="3" max="3" width="23.5703125" customWidth="1"/>
    <col min="4" max="4" width="27" customWidth="1"/>
    <col min="5" max="5" width="22.140625" bestFit="1" customWidth="1"/>
    <col min="6" max="6" width="3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</row>
    <row r="2" spans="1:6" x14ac:dyDescent="0.25">
      <c r="A2" s="1" t="s">
        <v>5</v>
      </c>
      <c r="B2" s="1" t="s">
        <v>6</v>
      </c>
      <c r="C2" s="1">
        <v>14846</v>
      </c>
      <c r="D2" s="1">
        <v>111345</v>
      </c>
      <c r="E2" s="1">
        <v>1064</v>
      </c>
      <c r="F2" s="1">
        <f t="shared" ref="F2:F21" si="0">C2+D2</f>
        <v>126191</v>
      </c>
    </row>
    <row r="3" spans="1:6" x14ac:dyDescent="0.25">
      <c r="A3" s="1" t="s">
        <v>7</v>
      </c>
      <c r="B3" s="1" t="s">
        <v>6</v>
      </c>
      <c r="C3" s="1">
        <v>3696</v>
      </c>
      <c r="D3" s="1">
        <v>27720</v>
      </c>
      <c r="E3" s="1">
        <v>56</v>
      </c>
      <c r="F3" s="1">
        <f t="shared" si="0"/>
        <v>31416</v>
      </c>
    </row>
    <row r="4" spans="1:6" x14ac:dyDescent="0.25">
      <c r="A4" t="s">
        <v>27</v>
      </c>
      <c r="B4" s="1" t="s">
        <v>6</v>
      </c>
      <c r="C4" s="1">
        <v>3216</v>
      </c>
      <c r="D4" s="1">
        <v>24120</v>
      </c>
      <c r="E4" s="1">
        <v>362</v>
      </c>
      <c r="F4" s="1">
        <f t="shared" si="0"/>
        <v>27336</v>
      </c>
    </row>
    <row r="5" spans="1:6" x14ac:dyDescent="0.25">
      <c r="A5" s="1" t="s">
        <v>8</v>
      </c>
      <c r="B5" s="1" t="s">
        <v>6</v>
      </c>
      <c r="C5" s="1">
        <v>3112</v>
      </c>
      <c r="D5" s="1">
        <v>23340</v>
      </c>
      <c r="E5" s="1">
        <v>256</v>
      </c>
      <c r="F5" s="1">
        <f t="shared" si="0"/>
        <v>26452</v>
      </c>
    </row>
    <row r="6" spans="1:6" x14ac:dyDescent="0.25">
      <c r="A6" s="1" t="s">
        <v>9</v>
      </c>
      <c r="B6" s="1" t="s">
        <v>6</v>
      </c>
      <c r="C6" s="1">
        <v>2892</v>
      </c>
      <c r="D6" s="1">
        <v>21690</v>
      </c>
      <c r="E6" s="1">
        <v>348</v>
      </c>
      <c r="F6" s="1">
        <f t="shared" si="0"/>
        <v>24582</v>
      </c>
    </row>
    <row r="7" spans="1:6" x14ac:dyDescent="0.25">
      <c r="A7" s="1" t="s">
        <v>10</v>
      </c>
      <c r="B7" s="1" t="s">
        <v>6</v>
      </c>
      <c r="C7" s="1">
        <v>2660</v>
      </c>
      <c r="D7" s="1">
        <v>19950</v>
      </c>
      <c r="E7" s="1">
        <v>248</v>
      </c>
      <c r="F7" s="1">
        <f t="shared" si="0"/>
        <v>22610</v>
      </c>
    </row>
    <row r="8" spans="1:6" x14ac:dyDescent="0.25">
      <c r="A8" s="1" t="s">
        <v>11</v>
      </c>
      <c r="B8" s="1" t="s">
        <v>6</v>
      </c>
      <c r="C8" s="1">
        <v>2592</v>
      </c>
      <c r="D8" s="1">
        <v>19440</v>
      </c>
      <c r="E8" s="1">
        <v>128</v>
      </c>
      <c r="F8" s="1">
        <f t="shared" si="0"/>
        <v>22032</v>
      </c>
    </row>
    <row r="9" spans="1:6" x14ac:dyDescent="0.25">
      <c r="A9" t="s">
        <v>25</v>
      </c>
      <c r="B9" s="1" t="s">
        <v>6</v>
      </c>
      <c r="C9" s="1">
        <v>2552</v>
      </c>
      <c r="D9" s="1">
        <v>19140</v>
      </c>
      <c r="E9" s="1">
        <v>244</v>
      </c>
      <c r="F9" s="1">
        <f t="shared" si="0"/>
        <v>21692</v>
      </c>
    </row>
    <row r="10" spans="1:6" x14ac:dyDescent="0.25">
      <c r="A10" s="1" t="s">
        <v>12</v>
      </c>
      <c r="B10" s="1" t="s">
        <v>6</v>
      </c>
      <c r="C10" s="1">
        <v>1926</v>
      </c>
      <c r="D10" s="1">
        <v>14445</v>
      </c>
      <c r="E10" s="1">
        <v>182</v>
      </c>
      <c r="F10" s="1">
        <f t="shared" si="0"/>
        <v>16371</v>
      </c>
    </row>
    <row r="11" spans="1:6" x14ac:dyDescent="0.25">
      <c r="A11" s="1" t="s">
        <v>13</v>
      </c>
      <c r="B11" s="1" t="s">
        <v>6</v>
      </c>
      <c r="C11" s="1">
        <v>1466</v>
      </c>
      <c r="D11" s="1">
        <v>10995</v>
      </c>
      <c r="E11" s="1">
        <v>182</v>
      </c>
      <c r="F11" s="1">
        <f t="shared" si="0"/>
        <v>12461</v>
      </c>
    </row>
    <row r="12" spans="1:6" x14ac:dyDescent="0.25">
      <c r="A12" s="1" t="s">
        <v>14</v>
      </c>
      <c r="B12" s="1" t="s">
        <v>6</v>
      </c>
      <c r="C12" s="1">
        <v>966</v>
      </c>
      <c r="D12" s="1">
        <v>7275</v>
      </c>
      <c r="E12" s="1">
        <v>120</v>
      </c>
      <c r="F12" s="1">
        <f t="shared" si="0"/>
        <v>8241</v>
      </c>
    </row>
    <row r="13" spans="1:6" x14ac:dyDescent="0.25">
      <c r="A13" s="1" t="s">
        <v>15</v>
      </c>
      <c r="B13" s="1" t="s">
        <v>6</v>
      </c>
      <c r="C13" s="1">
        <v>904</v>
      </c>
      <c r="D13" s="1">
        <v>6780</v>
      </c>
      <c r="E13" s="1">
        <v>128</v>
      </c>
      <c r="F13" s="1">
        <f t="shared" si="0"/>
        <v>7684</v>
      </c>
    </row>
    <row r="14" spans="1:6" x14ac:dyDescent="0.25">
      <c r="A14" t="s">
        <v>24</v>
      </c>
      <c r="B14" s="1" t="s">
        <v>6</v>
      </c>
      <c r="C14" s="1">
        <v>672</v>
      </c>
      <c r="D14" s="1">
        <v>5040</v>
      </c>
      <c r="E14" s="1">
        <v>56</v>
      </c>
      <c r="F14" s="1">
        <f t="shared" si="0"/>
        <v>5712</v>
      </c>
    </row>
    <row r="15" spans="1:6" x14ac:dyDescent="0.25">
      <c r="A15" t="s">
        <v>28</v>
      </c>
      <c r="B15" s="1" t="s">
        <v>6</v>
      </c>
      <c r="C15" s="1">
        <v>672</v>
      </c>
      <c r="D15" s="1">
        <v>5040</v>
      </c>
      <c r="E15" s="1">
        <v>56</v>
      </c>
      <c r="F15" s="1">
        <f t="shared" si="0"/>
        <v>5712</v>
      </c>
    </row>
    <row r="16" spans="1:6" x14ac:dyDescent="0.25">
      <c r="A16" s="1" t="s">
        <v>16</v>
      </c>
      <c r="B16" s="1" t="s">
        <v>6</v>
      </c>
      <c r="C16" s="1">
        <v>540</v>
      </c>
      <c r="D16" s="1">
        <v>4050</v>
      </c>
      <c r="E16" s="1">
        <v>64</v>
      </c>
      <c r="F16" s="1">
        <f t="shared" si="0"/>
        <v>4590</v>
      </c>
    </row>
    <row r="17" spans="1:6" x14ac:dyDescent="0.25">
      <c r="A17" s="1" t="s">
        <v>17</v>
      </c>
      <c r="B17" s="1" t="s">
        <v>6</v>
      </c>
      <c r="C17" s="1">
        <v>540</v>
      </c>
      <c r="D17" s="1">
        <v>4050</v>
      </c>
      <c r="E17" s="1">
        <v>64</v>
      </c>
      <c r="F17" s="1">
        <f t="shared" si="0"/>
        <v>4590</v>
      </c>
    </row>
    <row r="18" spans="1:6" x14ac:dyDescent="0.25">
      <c r="A18" s="1" t="s">
        <v>18</v>
      </c>
      <c r="B18" s="1" t="s">
        <v>6</v>
      </c>
      <c r="C18" s="1">
        <v>540</v>
      </c>
      <c r="D18" s="1">
        <v>4050</v>
      </c>
      <c r="E18" s="1">
        <v>54</v>
      </c>
      <c r="F18" s="1">
        <f t="shared" si="0"/>
        <v>4590</v>
      </c>
    </row>
    <row r="19" spans="1:6" x14ac:dyDescent="0.25">
      <c r="A19" t="s">
        <v>26</v>
      </c>
      <c r="B19" s="1" t="s">
        <v>6</v>
      </c>
      <c r="C19" s="1">
        <v>476</v>
      </c>
      <c r="D19" s="1">
        <v>3570</v>
      </c>
      <c r="E19" s="1">
        <v>64</v>
      </c>
      <c r="F19" s="1">
        <f t="shared" si="0"/>
        <v>4046</v>
      </c>
    </row>
    <row r="20" spans="1:6" x14ac:dyDescent="0.25">
      <c r="A20" s="1" t="s">
        <v>19</v>
      </c>
      <c r="B20" s="1" t="s">
        <v>6</v>
      </c>
      <c r="C20" s="1">
        <v>436</v>
      </c>
      <c r="D20" s="1">
        <v>3270</v>
      </c>
      <c r="E20" s="1">
        <v>64</v>
      </c>
      <c r="F20" s="1">
        <f t="shared" si="0"/>
        <v>3706</v>
      </c>
    </row>
    <row r="21" spans="1:6" x14ac:dyDescent="0.25">
      <c r="A21" s="1" t="s">
        <v>20</v>
      </c>
      <c r="B21" s="1" t="s">
        <v>6</v>
      </c>
      <c r="C21" s="1">
        <v>432</v>
      </c>
      <c r="D21" s="1">
        <v>3240</v>
      </c>
      <c r="E21" s="1">
        <v>54</v>
      </c>
      <c r="F21" s="1">
        <f t="shared" si="0"/>
        <v>3672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11EF-6C70-4274-977F-100924232B2A}">
  <dimension ref="A3:C24"/>
  <sheetViews>
    <sheetView topLeftCell="A4" workbookViewId="0">
      <selection activeCell="B14" sqref="B14"/>
    </sheetView>
  </sheetViews>
  <sheetFormatPr defaultRowHeight="15" x14ac:dyDescent="0.25"/>
  <cols>
    <col min="1" max="1" width="18" bestFit="1" customWidth="1"/>
    <col min="2" max="2" width="22.7109375" bestFit="1" customWidth="1"/>
  </cols>
  <sheetData>
    <row r="3" spans="1:2" x14ac:dyDescent="0.25">
      <c r="A3" s="2" t="s">
        <v>21</v>
      </c>
      <c r="B3" t="s">
        <v>29</v>
      </c>
    </row>
    <row r="4" spans="1:2" x14ac:dyDescent="0.25">
      <c r="A4" s="3" t="s">
        <v>13</v>
      </c>
      <c r="B4" s="4">
        <v>10995</v>
      </c>
    </row>
    <row r="5" spans="1:2" x14ac:dyDescent="0.25">
      <c r="A5" s="3" t="s">
        <v>22</v>
      </c>
      <c r="B5" s="4">
        <v>10995</v>
      </c>
    </row>
    <row r="24" spans="3:3" x14ac:dyDescent="0.25">
      <c r="C24">
        <f>B24</f>
        <v>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C1461-B5A0-42B4-9650-F4DFF90CE05E}">
  <dimension ref="A3:C5"/>
  <sheetViews>
    <sheetView topLeftCell="A5" workbookViewId="0">
      <selection activeCell="D8" sqref="D8"/>
    </sheetView>
  </sheetViews>
  <sheetFormatPr defaultRowHeight="15" x14ac:dyDescent="0.25"/>
  <cols>
    <col min="1" max="1" width="18" bestFit="1" customWidth="1"/>
    <col min="2" max="2" width="25.85546875" bestFit="1" customWidth="1"/>
    <col min="3" max="3" width="33.5703125" bestFit="1" customWidth="1"/>
    <col min="4" max="4" width="33.85546875" bestFit="1" customWidth="1"/>
  </cols>
  <sheetData>
    <row r="3" spans="1:3" x14ac:dyDescent="0.25">
      <c r="A3" s="2" t="s">
        <v>21</v>
      </c>
      <c r="B3" t="s">
        <v>30</v>
      </c>
      <c r="C3" t="s">
        <v>23</v>
      </c>
    </row>
    <row r="4" spans="1:3" x14ac:dyDescent="0.25">
      <c r="A4" s="3" t="s">
        <v>13</v>
      </c>
      <c r="B4" s="4">
        <v>182</v>
      </c>
      <c r="C4" s="4">
        <v>10995</v>
      </c>
    </row>
    <row r="5" spans="1:3" x14ac:dyDescent="0.25">
      <c r="A5" s="3" t="s">
        <v>22</v>
      </c>
      <c r="B5" s="4">
        <v>182</v>
      </c>
      <c r="C5" s="4">
        <v>10995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2DC6-0379-4025-84C9-7EB8BAD8C0A9}">
  <dimension ref="A1"/>
  <sheetViews>
    <sheetView tabSelected="1" zoomScaleNormal="100" workbookViewId="0">
      <selection activeCell="R8" sqref="R8"/>
    </sheetView>
  </sheetViews>
  <sheetFormatPr defaultRowHeight="15" x14ac:dyDescent="0.25"/>
  <cols>
    <col min="1" max="16384" width="9.140625" style="5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7C0-2F8C-495D-AD29-9DFBF974106B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01_Dados</vt:lpstr>
      <vt:lpstr>02_Tabela_Vagas</vt:lpstr>
      <vt:lpstr>03_Tabela_Uso</vt:lpstr>
      <vt:lpstr>04__Dashboard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Walisson Helmer</dc:creator>
  <cp:lastModifiedBy>Walisson Helmer</cp:lastModifiedBy>
  <dcterms:created xsi:type="dcterms:W3CDTF">2026-04-13T23:56:23Z</dcterms:created>
  <dcterms:modified xsi:type="dcterms:W3CDTF">2026-04-14T14:56:19Z</dcterms:modified>
</cp:coreProperties>
</file>